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blra\Documents\FISICA UGR\4o curso\TFG\"/>
    </mc:Choice>
  </mc:AlternateContent>
  <xr:revisionPtr revIDLastSave="0" documentId="8_{3E4F2D56-C1C2-432E-955B-C09173279786}" xr6:coauthVersionLast="47" xr6:coauthVersionMax="47" xr10:uidLastSave="{00000000-0000-0000-0000-000000000000}"/>
  <bookViews>
    <workbookView xWindow="-108" yWindow="-108" windowWidth="23256" windowHeight="12456" activeTab="2" xr2:uid="{3F799CA5-653A-45A7-BDE3-9CCCA946B2AC}"/>
  </bookViews>
  <sheets>
    <sheet name="Ajustes SM" sheetId="1" r:id="rId1"/>
    <sheet name="Ajustes BSM" sheetId="2" r:id="rId2"/>
    <sheet name="Vud,Vu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6" i="2" l="1"/>
  <c r="H15" i="2"/>
  <c r="C15" i="2"/>
  <c r="F22" i="1"/>
  <c r="E22" i="1"/>
  <c r="E20" i="1"/>
  <c r="J14" i="1"/>
  <c r="F13" i="1"/>
  <c r="E13" i="1"/>
  <c r="O12" i="1"/>
  <c r="J12" i="1"/>
  <c r="T9" i="1"/>
  <c r="S9" i="1"/>
  <c r="T8" i="1"/>
  <c r="S8" i="1"/>
  <c r="P7" i="1"/>
  <c r="F6" i="1"/>
  <c r="E6" i="1"/>
  <c r="F5" i="1"/>
  <c r="E5" i="1"/>
  <c r="F23" i="1" l="1"/>
  <c r="E23" i="1"/>
  <c r="E21" i="1"/>
  <c r="F20" i="1"/>
  <c r="F21" i="1" s="1"/>
  <c r="T14" i="1"/>
  <c r="S14" i="1"/>
  <c r="K14" i="1"/>
  <c r="F14" i="1"/>
  <c r="E14" i="1"/>
  <c r="K12" i="1"/>
  <c r="F7" i="1"/>
  <c r="F9" i="1" s="1"/>
  <c r="F10" i="1" s="1"/>
  <c r="E7" i="1"/>
  <c r="E9" i="1" s="1"/>
  <c r="E10" i="1" s="1"/>
</calcChain>
</file>

<file path=xl/sharedStrings.xml><?xml version="1.0" encoding="utf-8"?>
<sst xmlns="http://schemas.openxmlformats.org/spreadsheetml/2006/main" count="282" uniqueCount="201">
  <si>
    <t>RESULTADOS</t>
  </si>
  <si>
    <t>GVAR; LSQFIT CON PRIORS</t>
  </si>
  <si>
    <t>Ecuaciones</t>
  </si>
  <si>
    <t>Vud</t>
  </si>
  <si>
    <t>error Vud</t>
  </si>
  <si>
    <t>Vus</t>
  </si>
  <si>
    <t>error Vus</t>
  </si>
  <si>
    <t>rho</t>
  </si>
  <si>
    <t>chi^2</t>
  </si>
  <si>
    <t>dof</t>
  </si>
  <si>
    <t>chi^2/dof</t>
  </si>
  <si>
    <t>1,2,3,4</t>
  </si>
  <si>
    <t>0.97399</t>
  </si>
  <si>
    <t>0.00030</t>
  </si>
  <si>
    <t>0.22299</t>
  </si>
  <si>
    <t>0.00051</t>
  </si>
  <si>
    <t>0.00000</t>
  </si>
  <si>
    <t>Ajuste 1</t>
  </si>
  <si>
    <t>1,2,3,5</t>
  </si>
  <si>
    <t xml:space="preserve">0.97392 </t>
  </si>
  <si>
    <t xml:space="preserve"> 0.22424</t>
  </si>
  <si>
    <t>0.00037</t>
  </si>
  <si>
    <t>0.10050</t>
  </si>
  <si>
    <t>Ajuste 2</t>
  </si>
  <si>
    <t>1,2,3,5,6</t>
  </si>
  <si>
    <t xml:space="preserve"> 0.97393</t>
  </si>
  <si>
    <t xml:space="preserve"> 0.00030</t>
  </si>
  <si>
    <t>0.22418</t>
  </si>
  <si>
    <t>0.00036</t>
  </si>
  <si>
    <t>0.11540</t>
  </si>
  <si>
    <t>1,2,3,4,5</t>
  </si>
  <si>
    <t>0.97390</t>
  </si>
  <si>
    <t xml:space="preserve"> 0.22405</t>
  </si>
  <si>
    <t>0.09870</t>
  </si>
  <si>
    <t>1,2,3,4,6</t>
  </si>
  <si>
    <t xml:space="preserve">0.97399 </t>
  </si>
  <si>
    <t xml:space="preserve"> 0.00049</t>
  </si>
  <si>
    <t>0.02415</t>
  </si>
  <si>
    <t>1,2,3,4,7</t>
  </si>
  <si>
    <t>0.22293</t>
  </si>
  <si>
    <t>0.00049</t>
  </si>
  <si>
    <t>0.01014</t>
  </si>
  <si>
    <t>1,2,3,4,8</t>
  </si>
  <si>
    <t xml:space="preserve">0.97404 </t>
  </si>
  <si>
    <t>0.22290</t>
  </si>
  <si>
    <t xml:space="preserve"> 0.01359</t>
  </si>
  <si>
    <t>1,2,3,4,5,6</t>
  </si>
  <si>
    <t>0.22401</t>
  </si>
  <si>
    <t>0.00035</t>
  </si>
  <si>
    <t>0.11343</t>
  </si>
  <si>
    <t>1,2,3,4,5,7</t>
  </si>
  <si>
    <t>0.97391</t>
  </si>
  <si>
    <t xml:space="preserve"> 0.22402</t>
  </si>
  <si>
    <t>0.09927</t>
  </si>
  <si>
    <t>1,2,3,4,5,8</t>
  </si>
  <si>
    <t>0.97396</t>
  </si>
  <si>
    <t>0.22400</t>
  </si>
  <si>
    <t xml:space="preserve"> 0.10749</t>
  </si>
  <si>
    <t>1,2,3,4,6,7</t>
  </si>
  <si>
    <t xml:space="preserve"> 0.00048</t>
  </si>
  <si>
    <t xml:space="preserve"> 0.03302</t>
  </si>
  <si>
    <t>1,2,3,4,6,8</t>
  </si>
  <si>
    <t>0.22291</t>
  </si>
  <si>
    <t>0.03682</t>
  </si>
  <si>
    <t>1,2,3,4,7,8</t>
  </si>
  <si>
    <t>0.97404</t>
  </si>
  <si>
    <t>0.22285</t>
  </si>
  <si>
    <t>0.02306</t>
  </si>
  <si>
    <t>1,2,3,4,5,6,7</t>
  </si>
  <si>
    <t xml:space="preserve"> 0.97392</t>
  </si>
  <si>
    <t>0.22397</t>
  </si>
  <si>
    <t xml:space="preserve"> 0.00035</t>
  </si>
  <si>
    <t>0.11395</t>
  </si>
  <si>
    <t>1,2,3,4,5,6,8</t>
  </si>
  <si>
    <t>0.97397</t>
  </si>
  <si>
    <t>0.22396</t>
  </si>
  <si>
    <t>0.12183</t>
  </si>
  <si>
    <t>1,2,3,4,5,7,8</t>
  </si>
  <si>
    <t xml:space="preserve"> 0.22397</t>
  </si>
  <si>
    <t xml:space="preserve"> 0.00036</t>
  </si>
  <si>
    <t xml:space="preserve"> 0.10802</t>
  </si>
  <si>
    <t>Ajuste 5</t>
  </si>
  <si>
    <t>1,2,3,4,6,7,8</t>
  </si>
  <si>
    <t>0.22286</t>
  </si>
  <si>
    <t>0.00047</t>
  </si>
  <si>
    <t>0.04511</t>
  </si>
  <si>
    <t>Ajuste completo</t>
  </si>
  <si>
    <t>1,2,3,4,5,6,7,8</t>
  </si>
  <si>
    <t xml:space="preserve"> 0.12232</t>
  </si>
  <si>
    <t>1,2,4,5,6,7,8</t>
  </si>
  <si>
    <t>0.97401</t>
  </si>
  <si>
    <t xml:space="preserve"> 0.22419</t>
  </si>
  <si>
    <t>0.00042</t>
  </si>
  <si>
    <t>0.16545</t>
  </si>
  <si>
    <t>1,2,4,6,7,8</t>
  </si>
  <si>
    <t xml:space="preserve">0.97401 </t>
  </si>
  <si>
    <t xml:space="preserve">0.22223 </t>
  </si>
  <si>
    <t>0.00071</t>
  </si>
  <si>
    <t>0.08903</t>
  </si>
  <si>
    <t>Ajuste 3</t>
  </si>
  <si>
    <t>1,2,4,7,8</t>
  </si>
  <si>
    <t xml:space="preserve"> 0.22026 </t>
  </si>
  <si>
    <t>0.00128</t>
  </si>
  <si>
    <t>0.05654</t>
  </si>
  <si>
    <t>Ajuste 4</t>
  </si>
  <si>
    <t>1,2,4,5,7,8</t>
  </si>
  <si>
    <t>0.22452</t>
  </si>
  <si>
    <t>0.00048</t>
  </si>
  <si>
    <t>0.14575</t>
  </si>
  <si>
    <t>Superallowed beta decays</t>
  </si>
  <si>
    <t>valor</t>
  </si>
  <si>
    <t>error</t>
  </si>
  <si>
    <t>Kaon Semileptonic Decays</t>
  </si>
  <si>
    <t>1a igualdad</t>
  </si>
  <si>
    <t>K(GeV-4 s)</t>
  </si>
  <si>
    <t>Leptonic Decays</t>
  </si>
  <si>
    <t>Tau exclusive</t>
  </si>
  <si>
    <t>GF(GeV-2)</t>
  </si>
  <si>
    <t>f+(0)|Vus|</t>
  </si>
  <si>
    <t>A</t>
  </si>
  <si>
    <t>K/2GF^2 (s)</t>
  </si>
  <si>
    <t>f+(0)</t>
  </si>
  <si>
    <t>B</t>
  </si>
  <si>
    <t>|Vus|fk+/|Vud|fpi+</t>
  </si>
  <si>
    <t>B10/9</t>
  </si>
  <si>
    <t>Delta_R^V</t>
  </si>
  <si>
    <t>fk+/fpi+</t>
  </si>
  <si>
    <t>|Vud|^2 Ft</t>
  </si>
  <si>
    <t>A^2</t>
  </si>
  <si>
    <t>Tau inclusive lattice</t>
  </si>
  <si>
    <t>delta</t>
  </si>
  <si>
    <t>RAIZ|Vud|^2 Ft</t>
  </si>
  <si>
    <t>Semileptonicas con otra precision</t>
  </si>
  <si>
    <t>fK/fpi</t>
  </si>
  <si>
    <t>2a igualdad</t>
  </si>
  <si>
    <t>Numerador</t>
  </si>
  <si>
    <t>Rus</t>
  </si>
  <si>
    <t>mtau</t>
  </si>
  <si>
    <t>Denominador</t>
  </si>
  <si>
    <t>raiz(Rus)</t>
  </si>
  <si>
    <t>Vusfk/Vudfpi</t>
  </si>
  <si>
    <t>mkaon</t>
  </si>
  <si>
    <t>Ft</t>
  </si>
  <si>
    <t>B^2</t>
  </si>
  <si>
    <t>Rus/Vus^2</t>
  </si>
  <si>
    <t>f+(0)^K</t>
  </si>
  <si>
    <t>mpion</t>
  </si>
  <si>
    <t>RAIZ Ft</t>
  </si>
  <si>
    <t>raiz(Rus/Vus^2)</t>
  </si>
  <si>
    <t>Neutron beta decays</t>
  </si>
  <si>
    <t>Delta_R</t>
  </si>
  <si>
    <t>tau_n</t>
  </si>
  <si>
    <t>Tau inclusive OPE</t>
  </si>
  <si>
    <t>gA</t>
  </si>
  <si>
    <t>|Vud|^2(1+DeltaR)</t>
  </si>
  <si>
    <t xml:space="preserve">RAIZ </t>
  </si>
  <si>
    <t>Rud</t>
  </si>
  <si>
    <t>(1+DeltaR)</t>
  </si>
  <si>
    <t>deltaR</t>
  </si>
  <si>
    <t>RAIZ</t>
  </si>
  <si>
    <t>Ajuste un parametro epsilon_d:</t>
  </si>
  <si>
    <t>Ajuste un parametro epsilon_s:</t>
  </si>
  <si>
    <t>---------------------------------------------</t>
  </si>
  <si>
    <t>Vud = 0.97512 +/- 0.00177</t>
  </si>
  <si>
    <t>Vud = 0.97383 +/- 0.00025</t>
  </si>
  <si>
    <t>Vus = 0.22418 +/- 0.00036</t>
  </si>
  <si>
    <t>Vus = 0.22411 +/- 0.00036</t>
  </si>
  <si>
    <t>Epsilon_BMS = -0.00137 +/- 0.00180</t>
  </si>
  <si>
    <t>Epsilon_BMS = -0.00370 +/- 0.00157</t>
  </si>
  <si>
    <t>MÉTRICAS DEL AJUSTE</t>
  </si>
  <si>
    <t>Coeficiente de correlación (rho): 0.20712</t>
  </si>
  <si>
    <t>Coeficiente de correlación (rho): 0.09642</t>
  </si>
  <si>
    <t>Chi2/dof = 8.47603 / 6</t>
  </si>
  <si>
    <t>Chi2/dof = 3.51723 / 6</t>
  </si>
  <si>
    <t>DETALLES COMPLETOS DEL AJUSTE</t>
  </si>
  <si>
    <t>Ajuste dos parametros epsilon_d y epsilon_s:</t>
  </si>
  <si>
    <t>------------------------------------------</t>
  </si>
  <si>
    <t>Vud = 0.97381 +/- 0.00089</t>
  </si>
  <si>
    <t>Vus = 0.22411 +/- 0.00041</t>
  </si>
  <si>
    <t>Epsilon_d = 0.00002 +/- 0.00088</t>
  </si>
  <si>
    <t>Epsilon_s = -0.00372 +/- 0.00088</t>
  </si>
  <si>
    <t>Coeficiente de correlación (rho): 0.49527</t>
  </si>
  <si>
    <t>Chi2/dof = 3.37887 / 6</t>
  </si>
  <si>
    <t># Valor, Error, Etiqueta, Identificador_o_Codigo_Color</t>
  </si>
  <si>
    <t>0.2233, 0.00053, Kaon semileptonic decays ($K_{\ell3}$), #1e5491c4</t>
  </si>
  <si>
    <t>0.97367, 0.00032, Superallowed nuclear $\beta$ decays $0^+ \to 0^+$, #431c67</t>
  </si>
  <si>
    <t>0.2250, 0.00050, Kaon leptonic decays ($K_{\mu2}$), #911e1e</t>
  </si>
  <si>
    <t>0.97441, 0.00088, Neutron $\beta$ decay (Average), #8C564B</t>
  </si>
  <si>
    <t>0.2250, 0.00270, Hyperon decays, #b72aa6</t>
  </si>
  <si>
    <t>0.97413, 0.00043, Neutron $\beta$ decay (Best Values), #8C564B</t>
  </si>
  <si>
    <t>0.2189, 0.00193, Inclusive Hadronic $\tau$ decays (Lattice), #1e912dc4</t>
  </si>
  <si>
    <t>0.97386, 0.00283, Pion $\beta$ decay ($\pi_{e3}$), #008080</t>
  </si>
  <si>
    <t>0.2184, 0.00210, Inclusive Hadronic $\tau$ decays (OPE), #2ca02c</t>
  </si>
  <si>
    <t>0.2224, 0.00170, Exclusive $\tau$ decays ($\tau \to K \nu_\tau$), #1b5e20</t>
  </si>
  <si>
    <t>0.2229, 0.00190, Exclusive $\tau$ decays ($\tau \to K/\pi \nu_\tau$), #1b5e20</t>
  </si>
  <si>
    <t>0.2225, 0.00170, Exclusive $\tau$ decays (Average), #1b5e20</t>
  </si>
  <si>
    <t>0.2207, 0.00140, $\tau$ decays (Average), #3f523c</t>
  </si>
  <si>
    <t>0.227962126, 0.001366781, Superallowed nuclear $\beta$ decays $0^+ \to 0^+$, #431c67</t>
  </si>
  <si>
    <t>0.224778006, 0.00381479, Neutron $\beta$ decay (Average), #8C564B</t>
  </si>
  <si>
    <t>0.225988369, 0.001853529, Neutron $\beta$ decay (Best Values), #8C564B</t>
  </si>
  <si>
    <t>0.227149071, 0.012133106, Pion $\beta$ decay ($\pi_{e3}$), #008080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</si>
</sst>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8"/>
      <color rgb="FF2C363A"/>
      <name val="Courier New"/>
      <family val="3"/>
    </font>
    <font>
      <b/>
      <sz val="11"/>
      <color theme="4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theme="1" tint="0.34998626667073579"/>
      <name val="Aptos Narrow"/>
      <family val="2"/>
      <scheme val="minor"/>
    </font>
    <font>
      <sz val="8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164" fontId="0" fillId="0" borderId="0" xfId="0" applyNumberForma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5" fontId="0" fillId="0" borderId="0" xfId="0" applyNumberFormat="1"/>
    <xf numFmtId="0" fontId="0" fillId="0" borderId="0" xfId="0" quotePrefix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26FCF-1273-4E01-94CB-2B589862C08D}">
  <dimension ref="C3:T53"/>
  <sheetViews>
    <sheetView topLeftCell="A39" workbookViewId="0">
      <selection activeCell="C3" sqref="C3:T23"/>
    </sheetView>
  </sheetViews>
  <sheetFormatPr baseColWidth="10" defaultRowHeight="14.4" x14ac:dyDescent="0.3"/>
  <sheetData>
    <row r="3" spans="3:20" x14ac:dyDescent="0.3">
      <c r="C3" s="1">
        <v>1</v>
      </c>
      <c r="D3" s="2" t="s">
        <v>109</v>
      </c>
      <c r="I3" s="3"/>
    </row>
    <row r="4" spans="3:20" x14ac:dyDescent="0.3">
      <c r="E4" t="s">
        <v>110</v>
      </c>
      <c r="F4" t="s">
        <v>111</v>
      </c>
      <c r="H4" s="1">
        <v>3</v>
      </c>
      <c r="I4" s="4" t="s">
        <v>112</v>
      </c>
    </row>
    <row r="5" spans="3:20" x14ac:dyDescent="0.3">
      <c r="C5" t="s">
        <v>113</v>
      </c>
      <c r="D5" t="s">
        <v>114</v>
      </c>
      <c r="E5">
        <f>8120.27648*10^(-10)</f>
        <v>8.1202764800000004E-7</v>
      </c>
      <c r="F5">
        <f>0.00026*10^(-10)</f>
        <v>2.6E-14</v>
      </c>
      <c r="J5" t="s">
        <v>110</v>
      </c>
      <c r="K5" t="s">
        <v>111</v>
      </c>
      <c r="M5" s="1">
        <v>5</v>
      </c>
      <c r="N5" s="5" t="s">
        <v>115</v>
      </c>
      <c r="R5" s="1">
        <v>7</v>
      </c>
      <c r="S5" s="6" t="s">
        <v>116</v>
      </c>
    </row>
    <row r="6" spans="3:20" x14ac:dyDescent="0.3">
      <c r="D6" t="s">
        <v>117</v>
      </c>
      <c r="E6">
        <f>1.1663787*10^(-5)</f>
        <v>1.1663787000000001E-5</v>
      </c>
      <c r="F6">
        <f>0.0000006*10^(-5)</f>
        <v>6.0000000000000003E-12</v>
      </c>
      <c r="I6" t="s">
        <v>118</v>
      </c>
      <c r="J6">
        <v>0.21656</v>
      </c>
      <c r="K6">
        <v>3.5E-4</v>
      </c>
      <c r="L6" s="7" t="s">
        <v>119</v>
      </c>
      <c r="O6" t="s">
        <v>110</v>
      </c>
      <c r="P6" t="s">
        <v>111</v>
      </c>
      <c r="S6" t="s">
        <v>110</v>
      </c>
      <c r="T6" t="s">
        <v>111</v>
      </c>
    </row>
    <row r="7" spans="3:20" x14ac:dyDescent="0.3">
      <c r="D7" t="s">
        <v>120</v>
      </c>
      <c r="E7">
        <f>E5/(2*E6^2)</f>
        <v>2984.4318111951925</v>
      </c>
      <c r="F7">
        <f>SQRT((1/(2*E6^2))^2*F5^2+(E5/E6^3)^2*F6^2)</f>
        <v>3.0719457542326576E-3</v>
      </c>
      <c r="I7" t="s">
        <v>121</v>
      </c>
      <c r="J7">
        <v>0.9698</v>
      </c>
      <c r="K7">
        <v>1.6999999999999999E-3</v>
      </c>
      <c r="L7" s="7" t="s">
        <v>122</v>
      </c>
      <c r="M7" t="s">
        <v>123</v>
      </c>
      <c r="O7">
        <v>0.27678999999999998</v>
      </c>
      <c r="P7">
        <f>SQRT(0.00028^2+0.0002^2)</f>
        <v>3.4409301068170505E-4</v>
      </c>
      <c r="Q7" s="7" t="s">
        <v>119</v>
      </c>
      <c r="R7" t="s">
        <v>124</v>
      </c>
      <c r="S7">
        <v>6.4399999999999999E-2</v>
      </c>
      <c r="T7">
        <v>8.9999999999999998E-4</v>
      </c>
    </row>
    <row r="8" spans="3:20" x14ac:dyDescent="0.3">
      <c r="D8" t="s">
        <v>125</v>
      </c>
      <c r="E8">
        <v>2.4670000000000001E-2</v>
      </c>
      <c r="F8">
        <v>2.7E-4</v>
      </c>
      <c r="M8" t="s">
        <v>126</v>
      </c>
      <c r="O8" s="8">
        <v>1.1978</v>
      </c>
      <c r="P8">
        <v>2.2000000000000001E-3</v>
      </c>
      <c r="Q8" s="7" t="s">
        <v>122</v>
      </c>
      <c r="R8" s="7" t="s">
        <v>119</v>
      </c>
      <c r="S8">
        <f>SQRT(S7)</f>
        <v>0.25377155080899039</v>
      </c>
      <c r="T8">
        <f>T7/(2*S8)</f>
        <v>1.7732484140379765E-3</v>
      </c>
    </row>
    <row r="9" spans="3:20" x14ac:dyDescent="0.3">
      <c r="D9" s="7" t="s">
        <v>127</v>
      </c>
      <c r="E9">
        <f>E7*(1/(1+E8))</f>
        <v>2912.5784996098182</v>
      </c>
      <c r="F9">
        <f>SQRT((1/(1+E8))^2*F7^2+(E7*(1/(1+E8)^2))^2*F8^2)</f>
        <v>0.76746874109034113</v>
      </c>
      <c r="G9" s="7" t="s">
        <v>128</v>
      </c>
      <c r="H9" s="1">
        <v>4</v>
      </c>
      <c r="I9" s="9" t="s">
        <v>129</v>
      </c>
      <c r="R9" t="s">
        <v>130</v>
      </c>
      <c r="S9">
        <f>0.1/100</f>
        <v>1E-3</v>
      </c>
      <c r="T9">
        <f>0.8/100</f>
        <v>8.0000000000000002E-3</v>
      </c>
    </row>
    <row r="10" spans="3:20" x14ac:dyDescent="0.3">
      <c r="D10" s="7" t="s">
        <v>131</v>
      </c>
      <c r="E10">
        <f>SQRT(E9)</f>
        <v>53.968310142247539</v>
      </c>
      <c r="F10">
        <f>F9/(2*SQRT(E9))</f>
        <v>7.110364759128805E-3</v>
      </c>
      <c r="G10" s="7" t="s">
        <v>119</v>
      </c>
      <c r="J10" t="s">
        <v>110</v>
      </c>
      <c r="K10" t="s">
        <v>111</v>
      </c>
      <c r="M10" s="1">
        <v>6</v>
      </c>
      <c r="N10" s="10" t="s">
        <v>132</v>
      </c>
      <c r="R10" t="s">
        <v>133</v>
      </c>
      <c r="S10" s="8">
        <v>1.1978</v>
      </c>
      <c r="T10">
        <v>2.2000000000000001E-3</v>
      </c>
    </row>
    <row r="11" spans="3:20" x14ac:dyDescent="0.3">
      <c r="C11" t="s">
        <v>134</v>
      </c>
      <c r="D11" t="s">
        <v>135</v>
      </c>
      <c r="E11">
        <v>2912.95</v>
      </c>
      <c r="F11">
        <v>0.54</v>
      </c>
      <c r="I11" t="s">
        <v>136</v>
      </c>
      <c r="J11">
        <v>0.16320000000000001</v>
      </c>
      <c r="K11">
        <v>2.7000000000000001E-3</v>
      </c>
      <c r="N11" t="s">
        <v>110</v>
      </c>
      <c r="O11" t="s">
        <v>111</v>
      </c>
      <c r="R11" t="s">
        <v>137</v>
      </c>
      <c r="S11">
        <v>1776.93</v>
      </c>
      <c r="T11">
        <v>0.09</v>
      </c>
    </row>
    <row r="12" spans="3:20" x14ac:dyDescent="0.3">
      <c r="D12" t="s">
        <v>138</v>
      </c>
      <c r="E12">
        <v>0.94815000000000005</v>
      </c>
      <c r="F12">
        <v>5.9999999999999995E-4</v>
      </c>
      <c r="I12" t="s">
        <v>139</v>
      </c>
      <c r="J12">
        <f>SQRT(J11)</f>
        <v>0.40398019753448311</v>
      </c>
      <c r="K12">
        <f>K11/(2*J12)</f>
        <v>3.3417479575462762E-3</v>
      </c>
      <c r="L12" s="7" t="s">
        <v>119</v>
      </c>
      <c r="M12" t="s">
        <v>140</v>
      </c>
      <c r="N12">
        <v>0.22216</v>
      </c>
      <c r="O12">
        <f>SQRT(0.00064^2+0.0004^2+0.00002^2+0.00001^2)</f>
        <v>7.5504966724050681E-4</v>
      </c>
      <c r="P12" s="7" t="s">
        <v>119</v>
      </c>
      <c r="R12" t="s">
        <v>141</v>
      </c>
      <c r="S12">
        <v>493.67700000000002</v>
      </c>
      <c r="T12">
        <v>1.4999999999999999E-2</v>
      </c>
    </row>
    <row r="13" spans="3:20" x14ac:dyDescent="0.3">
      <c r="D13" s="7" t="s">
        <v>142</v>
      </c>
      <c r="E13">
        <f>E11/E12</f>
        <v>3072.2459526446232</v>
      </c>
      <c r="F13">
        <f>SQRT((1/E12)^2*F11^2+(E11/E12^2)^2*F12^2)</f>
        <v>2.0258556150594642</v>
      </c>
      <c r="G13" s="7" t="s">
        <v>143</v>
      </c>
      <c r="I13" t="s">
        <v>144</v>
      </c>
      <c r="J13">
        <v>3.407</v>
      </c>
      <c r="K13">
        <v>2.1999999999999999E-2</v>
      </c>
      <c r="M13" t="s">
        <v>145</v>
      </c>
      <c r="N13">
        <v>0.9698</v>
      </c>
      <c r="O13">
        <v>1.6999999999999999E-3</v>
      </c>
      <c r="P13" s="7" t="s">
        <v>122</v>
      </c>
      <c r="R13" t="s">
        <v>146</v>
      </c>
      <c r="S13">
        <v>139.57039</v>
      </c>
      <c r="T13">
        <v>1.8000000000000001E-4</v>
      </c>
    </row>
    <row r="14" spans="3:20" x14ac:dyDescent="0.3">
      <c r="D14" s="7" t="s">
        <v>147</v>
      </c>
      <c r="E14">
        <f>SQRT(E13)</f>
        <v>55.427844560695512</v>
      </c>
      <c r="F14">
        <f>F13/(2*SQRT(E13))</f>
        <v>1.8274710401566117E-2</v>
      </c>
      <c r="I14" t="s">
        <v>148</v>
      </c>
      <c r="J14">
        <f>SQRT(J13)</f>
        <v>1.8458060569843193</v>
      </c>
      <c r="K14">
        <f>K13/(2*J14)</f>
        <v>5.9594560102223396E-3</v>
      </c>
      <c r="L14" s="7" t="s">
        <v>122</v>
      </c>
      <c r="R14" s="7" t="s">
        <v>122</v>
      </c>
      <c r="S14">
        <f>S10*(S11^2-S12^2)/(S11^2-S13^2)*SQRT(1+S9)</f>
        <v>1.1127628625347687</v>
      </c>
      <c r="T14">
        <f>SQRT(((S11^2-S12^2)/(S11^2-S13^2)*SQRT(1+S9))^2*T10^2+(S10*(S11^2-S12^2)/(S11^2-S13^2)*1/(2*SQRT(1+S9)))^2*T9^2+(S10*2*S11/(S11^2-S13^2)*SQRT(1+S9)*(1-((S11^2-S12^2)/(S11^2-S13^2))))^2*T11^2+(S10*2*S12/(S11^2-S13^2)*SQRT(1+S9))^2*T12^2+(S10*2*(S11^2-S12^2)*S13/(S11^2-S13^2)^2*SQRT(1+S9))^2*T13^2)</f>
        <v>4.8938299204788543E-3</v>
      </c>
    </row>
    <row r="15" spans="3:20" x14ac:dyDescent="0.3">
      <c r="C15" s="1">
        <v>2</v>
      </c>
      <c r="D15" s="11" t="s">
        <v>149</v>
      </c>
    </row>
    <row r="16" spans="3:20" x14ac:dyDescent="0.3">
      <c r="E16" t="s">
        <v>110</v>
      </c>
      <c r="F16" t="s">
        <v>111</v>
      </c>
    </row>
    <row r="17" spans="4:20" x14ac:dyDescent="0.3">
      <c r="D17" t="s">
        <v>150</v>
      </c>
      <c r="E17">
        <v>3.9829999999999997E-2</v>
      </c>
      <c r="F17">
        <v>2.7E-4</v>
      </c>
    </row>
    <row r="18" spans="4:20" x14ac:dyDescent="0.3">
      <c r="D18" t="s">
        <v>151</v>
      </c>
      <c r="E18">
        <v>874.4</v>
      </c>
      <c r="F18">
        <v>0.6</v>
      </c>
      <c r="R18" s="1">
        <v>8</v>
      </c>
      <c r="S18" s="12" t="s">
        <v>152</v>
      </c>
    </row>
    <row r="19" spans="4:20" x14ac:dyDescent="0.3">
      <c r="D19" t="s">
        <v>153</v>
      </c>
      <c r="E19">
        <v>1.2756000000000001</v>
      </c>
      <c r="F19">
        <v>1.2999999999999999E-3</v>
      </c>
      <c r="S19" t="s">
        <v>110</v>
      </c>
      <c r="T19" t="s">
        <v>111</v>
      </c>
    </row>
    <row r="20" spans="4:20" x14ac:dyDescent="0.3">
      <c r="D20" s="7" t="s">
        <v>154</v>
      </c>
      <c r="E20">
        <f>5099.33/(E18*(1+3*E19^2))</f>
        <v>0.9915562866013713</v>
      </c>
      <c r="F20">
        <f>SQRT((E20/E18)^2*F18^2+(E20/(1+3*E19^2)*6*E19)^2*F19^2)</f>
        <v>1.8101540160325568E-3</v>
      </c>
      <c r="G20" s="7" t="s">
        <v>128</v>
      </c>
      <c r="R20" t="s">
        <v>136</v>
      </c>
      <c r="S20">
        <v>0.16320000000000001</v>
      </c>
      <c r="T20">
        <v>2.7000000000000001E-3</v>
      </c>
    </row>
    <row r="21" spans="4:20" x14ac:dyDescent="0.3">
      <c r="D21" s="7" t="s">
        <v>155</v>
      </c>
      <c r="E21">
        <f>SQRT(E20)</f>
        <v>0.9957691934386057</v>
      </c>
      <c r="F21">
        <f>F20/(2*SQRT(E20))</f>
        <v>9.0892248322209325E-4</v>
      </c>
      <c r="G21" s="7" t="s">
        <v>119</v>
      </c>
      <c r="R21" t="s">
        <v>156</v>
      </c>
      <c r="S21" s="13">
        <v>3.47</v>
      </c>
      <c r="T21">
        <v>8.0000000000000002E-3</v>
      </c>
    </row>
    <row r="22" spans="4:20" x14ac:dyDescent="0.3">
      <c r="D22" s="7" t="s">
        <v>157</v>
      </c>
      <c r="E22">
        <f>1+E17</f>
        <v>1.03983</v>
      </c>
      <c r="F22">
        <f>F17</f>
        <v>2.7E-4</v>
      </c>
      <c r="G22" s="7" t="s">
        <v>143</v>
      </c>
      <c r="R22" t="s">
        <v>158</v>
      </c>
      <c r="S22">
        <v>0.23899999999999999</v>
      </c>
      <c r="T22">
        <v>3.2000000000000001E-2</v>
      </c>
    </row>
    <row r="23" spans="4:20" x14ac:dyDescent="0.3">
      <c r="D23" s="7" t="s">
        <v>159</v>
      </c>
      <c r="E23">
        <f>SQRT(E22)</f>
        <v>1.0197205499547413</v>
      </c>
      <c r="F23">
        <f>F22/(2*SQRT(E22))</f>
        <v>1.3238921193261405E-4</v>
      </c>
      <c r="G23" s="7" t="s">
        <v>122</v>
      </c>
      <c r="R23" t="s">
        <v>3</v>
      </c>
      <c r="S23">
        <v>0.97384000000000004</v>
      </c>
      <c r="T23">
        <v>2.5999999999999998E-4</v>
      </c>
    </row>
    <row r="29" spans="4:20" x14ac:dyDescent="0.3">
      <c r="D29" t="s">
        <v>0</v>
      </c>
    </row>
    <row r="30" spans="4:20" x14ac:dyDescent="0.3">
      <c r="D30" t="s">
        <v>1</v>
      </c>
    </row>
    <row r="31" spans="4:20" x14ac:dyDescent="0.3">
      <c r="D31" t="s">
        <v>2</v>
      </c>
      <c r="E31" t="s">
        <v>3</v>
      </c>
      <c r="F31" t="s">
        <v>4</v>
      </c>
      <c r="G31" t="s">
        <v>5</v>
      </c>
      <c r="H31" t="s">
        <v>6</v>
      </c>
      <c r="I31" t="s">
        <v>7</v>
      </c>
      <c r="J31" t="s">
        <v>8</v>
      </c>
      <c r="K31" t="s">
        <v>9</v>
      </c>
      <c r="L31" t="s">
        <v>10</v>
      </c>
    </row>
    <row r="32" spans="4:20" x14ac:dyDescent="0.3">
      <c r="D32" t="s">
        <v>11</v>
      </c>
      <c r="E32" t="s">
        <v>12</v>
      </c>
      <c r="F32" t="s">
        <v>13</v>
      </c>
      <c r="G32" t="s">
        <v>14</v>
      </c>
      <c r="H32" t="s">
        <v>15</v>
      </c>
      <c r="I32" t="s">
        <v>16</v>
      </c>
      <c r="J32">
        <v>13.71428</v>
      </c>
      <c r="K32">
        <v>4</v>
      </c>
      <c r="L32">
        <v>3.4285700000000001</v>
      </c>
    </row>
    <row r="33" spans="3:12" x14ac:dyDescent="0.3">
      <c r="C33" t="s">
        <v>17</v>
      </c>
      <c r="D33" t="s">
        <v>18</v>
      </c>
      <c r="E33" t="s">
        <v>19</v>
      </c>
      <c r="F33" t="s">
        <v>13</v>
      </c>
      <c r="G33" t="s">
        <v>20</v>
      </c>
      <c r="H33" t="s">
        <v>21</v>
      </c>
      <c r="I33" t="s">
        <v>22</v>
      </c>
      <c r="J33">
        <v>14.670310000000001</v>
      </c>
      <c r="K33">
        <v>4</v>
      </c>
      <c r="L33">
        <v>3.6675775000000002</v>
      </c>
    </row>
    <row r="34" spans="3:12" x14ac:dyDescent="0.3">
      <c r="C34" t="s">
        <v>23</v>
      </c>
      <c r="D34" t="s">
        <v>24</v>
      </c>
      <c r="E34" t="s">
        <v>25</v>
      </c>
      <c r="F34" t="s">
        <v>26</v>
      </c>
      <c r="G34" t="s">
        <v>27</v>
      </c>
      <c r="H34" t="s">
        <v>28</v>
      </c>
      <c r="I34" t="s">
        <v>29</v>
      </c>
      <c r="J34">
        <v>15.255509999999999</v>
      </c>
      <c r="K34">
        <v>5</v>
      </c>
      <c r="L34">
        <v>3.0511019999999998</v>
      </c>
    </row>
    <row r="35" spans="3:12" x14ac:dyDescent="0.3">
      <c r="D35" t="s">
        <v>30</v>
      </c>
      <c r="E35" t="s">
        <v>31</v>
      </c>
      <c r="F35" t="s">
        <v>26</v>
      </c>
      <c r="G35" t="s">
        <v>32</v>
      </c>
      <c r="H35" t="s">
        <v>28</v>
      </c>
      <c r="I35" t="s">
        <v>33</v>
      </c>
      <c r="J35">
        <v>22.049150000000001</v>
      </c>
      <c r="K35">
        <v>5</v>
      </c>
      <c r="L35">
        <v>4.4098300000000004</v>
      </c>
    </row>
    <row r="36" spans="3:12" x14ac:dyDescent="0.3">
      <c r="D36" t="s">
        <v>34</v>
      </c>
      <c r="E36" t="s">
        <v>35</v>
      </c>
      <c r="F36" t="s">
        <v>13</v>
      </c>
      <c r="G36" t="s">
        <v>14</v>
      </c>
      <c r="H36" t="s">
        <v>36</v>
      </c>
      <c r="I36" t="s">
        <v>37</v>
      </c>
      <c r="J36">
        <v>13.71677</v>
      </c>
      <c r="K36">
        <v>5</v>
      </c>
      <c r="L36">
        <v>2.7433540000000001</v>
      </c>
    </row>
    <row r="37" spans="3:12" x14ac:dyDescent="0.3">
      <c r="D37" t="s">
        <v>38</v>
      </c>
      <c r="E37" t="s">
        <v>12</v>
      </c>
      <c r="F37" t="s">
        <v>26</v>
      </c>
      <c r="G37" t="s">
        <v>39</v>
      </c>
      <c r="H37" t="s">
        <v>40</v>
      </c>
      <c r="I37" t="s">
        <v>41</v>
      </c>
      <c r="J37">
        <v>13.923030000000001</v>
      </c>
      <c r="K37">
        <v>5</v>
      </c>
      <c r="L37">
        <v>2.7846060000000001</v>
      </c>
    </row>
    <row r="38" spans="3:12" x14ac:dyDescent="0.3">
      <c r="D38" t="s">
        <v>42</v>
      </c>
      <c r="E38" t="s">
        <v>43</v>
      </c>
      <c r="F38" t="s">
        <v>13</v>
      </c>
      <c r="G38" t="s">
        <v>44</v>
      </c>
      <c r="H38" t="s">
        <v>15</v>
      </c>
      <c r="I38" t="s">
        <v>45</v>
      </c>
      <c r="J38">
        <v>15.867240000000001</v>
      </c>
      <c r="K38">
        <v>5</v>
      </c>
      <c r="L38">
        <v>3.173448</v>
      </c>
    </row>
    <row r="39" spans="3:12" x14ac:dyDescent="0.3">
      <c r="D39" t="s">
        <v>46</v>
      </c>
      <c r="E39" t="s">
        <v>19</v>
      </c>
      <c r="F39" t="s">
        <v>26</v>
      </c>
      <c r="G39" t="s">
        <v>47</v>
      </c>
      <c r="H39" t="s">
        <v>48</v>
      </c>
      <c r="I39" t="s">
        <v>49</v>
      </c>
      <c r="J39">
        <v>22.493670000000002</v>
      </c>
      <c r="K39">
        <v>6</v>
      </c>
      <c r="L39">
        <v>3.7489450000000004</v>
      </c>
    </row>
    <row r="40" spans="3:12" x14ac:dyDescent="0.3">
      <c r="D40" t="s">
        <v>50</v>
      </c>
      <c r="E40" t="s">
        <v>51</v>
      </c>
      <c r="F40" t="s">
        <v>13</v>
      </c>
      <c r="G40" t="s">
        <v>52</v>
      </c>
      <c r="H40" t="s">
        <v>28</v>
      </c>
      <c r="I40" t="s">
        <v>53</v>
      </c>
      <c r="J40">
        <v>24.16076</v>
      </c>
      <c r="K40">
        <v>6</v>
      </c>
      <c r="L40">
        <v>4.026793333333333</v>
      </c>
    </row>
    <row r="41" spans="3:12" x14ac:dyDescent="0.3">
      <c r="D41" t="s">
        <v>54</v>
      </c>
      <c r="E41" t="s">
        <v>55</v>
      </c>
      <c r="F41" t="s">
        <v>26</v>
      </c>
      <c r="G41" t="s">
        <v>56</v>
      </c>
      <c r="H41" t="s">
        <v>28</v>
      </c>
      <c r="I41" t="s">
        <v>57</v>
      </c>
      <c r="J41">
        <v>25.131170000000001</v>
      </c>
      <c r="K41">
        <v>6</v>
      </c>
      <c r="L41">
        <v>4.1885283333333332</v>
      </c>
    </row>
    <row r="42" spans="3:12" x14ac:dyDescent="0.3">
      <c r="D42" t="s">
        <v>58</v>
      </c>
      <c r="E42" t="s">
        <v>12</v>
      </c>
      <c r="F42" t="s">
        <v>13</v>
      </c>
      <c r="G42" t="s">
        <v>39</v>
      </c>
      <c r="H42" t="s">
        <v>59</v>
      </c>
      <c r="I42" t="s">
        <v>60</v>
      </c>
      <c r="J42">
        <v>13.923220000000001</v>
      </c>
      <c r="K42">
        <v>6</v>
      </c>
      <c r="L42">
        <v>2.3205366666666669</v>
      </c>
    </row>
    <row r="43" spans="3:12" x14ac:dyDescent="0.3">
      <c r="D43" t="s">
        <v>61</v>
      </c>
      <c r="E43" t="s">
        <v>43</v>
      </c>
      <c r="F43" t="s">
        <v>13</v>
      </c>
      <c r="G43" t="s">
        <v>62</v>
      </c>
      <c r="H43" t="s">
        <v>40</v>
      </c>
      <c r="I43" t="s">
        <v>63</v>
      </c>
      <c r="J43">
        <v>15.8674</v>
      </c>
      <c r="K43">
        <v>6</v>
      </c>
      <c r="L43">
        <v>2.6445666666666665</v>
      </c>
    </row>
    <row r="44" spans="3:12" x14ac:dyDescent="0.3">
      <c r="D44" t="s">
        <v>64</v>
      </c>
      <c r="E44" t="s">
        <v>65</v>
      </c>
      <c r="F44" t="s">
        <v>13</v>
      </c>
      <c r="G44" t="s">
        <v>66</v>
      </c>
      <c r="H44" t="s">
        <v>40</v>
      </c>
      <c r="I44" t="s">
        <v>67</v>
      </c>
      <c r="J44">
        <v>16.0307</v>
      </c>
      <c r="K44">
        <v>6</v>
      </c>
      <c r="L44">
        <v>2.6717833333333334</v>
      </c>
    </row>
    <row r="45" spans="3:12" x14ac:dyDescent="0.3">
      <c r="D45" t="s">
        <v>68</v>
      </c>
      <c r="E45" t="s">
        <v>69</v>
      </c>
      <c r="F45" t="s">
        <v>13</v>
      </c>
      <c r="G45" t="s">
        <v>70</v>
      </c>
      <c r="H45" t="s">
        <v>71</v>
      </c>
      <c r="I45" t="s">
        <v>72</v>
      </c>
      <c r="J45">
        <v>24.580120000000001</v>
      </c>
      <c r="K45">
        <v>7</v>
      </c>
      <c r="L45">
        <v>3.5114457142857143</v>
      </c>
    </row>
    <row r="46" spans="3:12" x14ac:dyDescent="0.3">
      <c r="D46" t="s">
        <v>73</v>
      </c>
      <c r="E46" t="s">
        <v>74</v>
      </c>
      <c r="F46" t="s">
        <v>13</v>
      </c>
      <c r="G46" t="s">
        <v>75</v>
      </c>
      <c r="H46" t="s">
        <v>48</v>
      </c>
      <c r="I46" t="s">
        <v>76</v>
      </c>
      <c r="J46">
        <v>25.52158</v>
      </c>
      <c r="K46">
        <v>7</v>
      </c>
      <c r="L46">
        <v>3.64594</v>
      </c>
    </row>
    <row r="47" spans="3:12" x14ac:dyDescent="0.3">
      <c r="D47" t="s">
        <v>77</v>
      </c>
      <c r="E47" t="s">
        <v>55</v>
      </c>
      <c r="F47" t="s">
        <v>26</v>
      </c>
      <c r="G47" t="s">
        <v>78</v>
      </c>
      <c r="H47" t="s">
        <v>79</v>
      </c>
      <c r="I47" t="s">
        <v>80</v>
      </c>
      <c r="J47">
        <v>27.2117</v>
      </c>
      <c r="K47">
        <v>7</v>
      </c>
      <c r="L47">
        <v>3.8873857142857142</v>
      </c>
    </row>
    <row r="48" spans="3:12" x14ac:dyDescent="0.3">
      <c r="C48" t="s">
        <v>81</v>
      </c>
      <c r="D48" t="s">
        <v>82</v>
      </c>
      <c r="E48" t="s">
        <v>65</v>
      </c>
      <c r="F48" t="s">
        <v>26</v>
      </c>
      <c r="G48" t="s">
        <v>83</v>
      </c>
      <c r="H48" t="s">
        <v>84</v>
      </c>
      <c r="I48" t="s">
        <v>85</v>
      </c>
      <c r="J48">
        <v>16.032640000000001</v>
      </c>
      <c r="K48">
        <v>7</v>
      </c>
      <c r="L48">
        <v>2.2903771428571429</v>
      </c>
    </row>
    <row r="49" spans="3:12" x14ac:dyDescent="0.3">
      <c r="C49" t="s">
        <v>86</v>
      </c>
      <c r="D49" t="s">
        <v>87</v>
      </c>
      <c r="E49">
        <v>0.97397</v>
      </c>
      <c r="F49" t="s">
        <v>26</v>
      </c>
      <c r="G49">
        <v>0.22392999999999999</v>
      </c>
      <c r="H49" t="s">
        <v>71</v>
      </c>
      <c r="I49" t="s">
        <v>88</v>
      </c>
      <c r="J49">
        <v>27.579000000000001</v>
      </c>
      <c r="K49">
        <v>8</v>
      </c>
      <c r="L49">
        <v>3.4473750000000001</v>
      </c>
    </row>
    <row r="50" spans="3:12" x14ac:dyDescent="0.3">
      <c r="D50" t="s">
        <v>89</v>
      </c>
      <c r="E50" t="s">
        <v>90</v>
      </c>
      <c r="F50" t="s">
        <v>13</v>
      </c>
      <c r="G50" t="s">
        <v>91</v>
      </c>
      <c r="H50" t="s">
        <v>92</v>
      </c>
      <c r="I50" t="s">
        <v>93</v>
      </c>
      <c r="J50">
        <v>26.381170000000001</v>
      </c>
      <c r="K50">
        <v>7</v>
      </c>
      <c r="L50">
        <v>3.7687385714285715</v>
      </c>
    </row>
    <row r="51" spans="3:12" x14ac:dyDescent="0.3">
      <c r="D51" t="s">
        <v>94</v>
      </c>
      <c r="E51" t="s">
        <v>95</v>
      </c>
      <c r="F51" t="s">
        <v>13</v>
      </c>
      <c r="G51" t="s">
        <v>96</v>
      </c>
      <c r="H51" t="s">
        <v>97</v>
      </c>
      <c r="I51" t="s">
        <v>98</v>
      </c>
      <c r="J51">
        <v>14.66098</v>
      </c>
      <c r="K51">
        <v>6</v>
      </c>
      <c r="L51">
        <v>2.4434966666666669</v>
      </c>
    </row>
    <row r="52" spans="3:12" x14ac:dyDescent="0.3">
      <c r="C52" t="s">
        <v>99</v>
      </c>
      <c r="D52" t="s">
        <v>100</v>
      </c>
      <c r="E52" t="s">
        <v>95</v>
      </c>
      <c r="F52" t="s">
        <v>26</v>
      </c>
      <c r="G52" t="s">
        <v>101</v>
      </c>
      <c r="H52" t="s">
        <v>102</v>
      </c>
      <c r="I52" t="s">
        <v>103</v>
      </c>
      <c r="J52">
        <v>11.16334</v>
      </c>
      <c r="K52">
        <v>5</v>
      </c>
      <c r="L52">
        <v>2.2326679999999999</v>
      </c>
    </row>
    <row r="53" spans="3:12" x14ac:dyDescent="0.3">
      <c r="C53" t="s">
        <v>104</v>
      </c>
      <c r="D53" t="s">
        <v>105</v>
      </c>
      <c r="E53" t="s">
        <v>90</v>
      </c>
      <c r="F53" t="s">
        <v>13</v>
      </c>
      <c r="G53" t="s">
        <v>106</v>
      </c>
      <c r="H53" t="s">
        <v>107</v>
      </c>
      <c r="I53" t="s">
        <v>108</v>
      </c>
      <c r="J53">
        <v>24.340229999999998</v>
      </c>
      <c r="K53">
        <v>6</v>
      </c>
      <c r="L53">
        <v>4.056705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73872-6EE1-448E-BCB7-CFD93C3A3A2C}">
  <dimension ref="C4:M18"/>
  <sheetViews>
    <sheetView workbookViewId="0">
      <selection activeCell="L5" sqref="L5:N18"/>
    </sheetView>
  </sheetViews>
  <sheetFormatPr baseColWidth="10" defaultRowHeight="14.4" x14ac:dyDescent="0.3"/>
  <sheetData>
    <row r="4" spans="3:13" x14ac:dyDescent="0.3">
      <c r="C4" t="s">
        <v>160</v>
      </c>
      <c r="H4" t="s">
        <v>161</v>
      </c>
      <c r="L4" t="s">
        <v>175</v>
      </c>
    </row>
    <row r="5" spans="3:13" x14ac:dyDescent="0.3">
      <c r="C5" t="s">
        <v>162</v>
      </c>
      <c r="H5" t="s">
        <v>162</v>
      </c>
      <c r="L5" s="14" t="s">
        <v>176</v>
      </c>
    </row>
    <row r="6" spans="3:13" x14ac:dyDescent="0.3">
      <c r="C6" t="s">
        <v>163</v>
      </c>
      <c r="H6" t="s">
        <v>164</v>
      </c>
      <c r="L6" t="s">
        <v>177</v>
      </c>
    </row>
    <row r="7" spans="3:13" x14ac:dyDescent="0.3">
      <c r="C7" t="s">
        <v>165</v>
      </c>
      <c r="H7" t="s">
        <v>166</v>
      </c>
      <c r="L7" t="s">
        <v>178</v>
      </c>
    </row>
    <row r="9" spans="3:13" x14ac:dyDescent="0.3">
      <c r="C9" t="s">
        <v>167</v>
      </c>
      <c r="H9" t="s">
        <v>168</v>
      </c>
      <c r="L9" t="s">
        <v>179</v>
      </c>
    </row>
    <row r="10" spans="3:13" x14ac:dyDescent="0.3">
      <c r="L10" t="s">
        <v>180</v>
      </c>
    </row>
    <row r="11" spans="3:13" x14ac:dyDescent="0.3">
      <c r="C11" t="s">
        <v>169</v>
      </c>
      <c r="H11" t="s">
        <v>169</v>
      </c>
    </row>
    <row r="12" spans="3:13" x14ac:dyDescent="0.3">
      <c r="C12" t="s">
        <v>162</v>
      </c>
      <c r="H12" t="s">
        <v>162</v>
      </c>
      <c r="L12" t="s">
        <v>169</v>
      </c>
    </row>
    <row r="13" spans="3:13" x14ac:dyDescent="0.3">
      <c r="C13" t="s">
        <v>170</v>
      </c>
      <c r="H13" t="s">
        <v>171</v>
      </c>
      <c r="L13" t="s">
        <v>162</v>
      </c>
    </row>
    <row r="14" spans="3:13" x14ac:dyDescent="0.3">
      <c r="C14" t="s">
        <v>172</v>
      </c>
      <c r="H14" t="s">
        <v>173</v>
      </c>
      <c r="L14" t="s">
        <v>181</v>
      </c>
    </row>
    <row r="15" spans="3:13" x14ac:dyDescent="0.3">
      <c r="C15">
        <f>8.47603/6</f>
        <v>1.4126716666666665</v>
      </c>
      <c r="H15">
        <f>3.51723/6</f>
        <v>0.58620499999999998</v>
      </c>
      <c r="L15" t="s">
        <v>182</v>
      </c>
    </row>
    <row r="16" spans="3:13" x14ac:dyDescent="0.3">
      <c r="C16" t="s">
        <v>174</v>
      </c>
      <c r="H16" t="s">
        <v>174</v>
      </c>
      <c r="M16">
        <f>3.37887/6</f>
        <v>0.56314500000000001</v>
      </c>
    </row>
    <row r="17" spans="3:12" x14ac:dyDescent="0.3">
      <c r="C17" t="s">
        <v>162</v>
      </c>
      <c r="H17" t="s">
        <v>162</v>
      </c>
      <c r="L17" t="s">
        <v>174</v>
      </c>
    </row>
    <row r="18" spans="3:12" x14ac:dyDescent="0.3">
      <c r="L18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705C3-21C6-48C3-8525-7659B740B3F6}">
  <dimension ref="C6:I20"/>
  <sheetViews>
    <sheetView tabSelected="1" workbookViewId="0">
      <selection activeCell="A20" sqref="A20"/>
    </sheetView>
  </sheetViews>
  <sheetFormatPr baseColWidth="10" defaultRowHeight="14.4" x14ac:dyDescent="0.3"/>
  <sheetData>
    <row r="6" spans="3:9" x14ac:dyDescent="0.3">
      <c r="I6" t="s">
        <v>5</v>
      </c>
    </row>
    <row r="7" spans="3:9" x14ac:dyDescent="0.3">
      <c r="C7" t="s">
        <v>3</v>
      </c>
      <c r="I7" t="s">
        <v>183</v>
      </c>
    </row>
    <row r="8" spans="3:9" x14ac:dyDescent="0.3">
      <c r="C8" t="s">
        <v>183</v>
      </c>
      <c r="I8" t="s">
        <v>184</v>
      </c>
    </row>
    <row r="9" spans="3:9" x14ac:dyDescent="0.3">
      <c r="C9" t="s">
        <v>185</v>
      </c>
      <c r="I9" t="s">
        <v>186</v>
      </c>
    </row>
    <row r="10" spans="3:9" x14ac:dyDescent="0.3">
      <c r="C10" t="s">
        <v>187</v>
      </c>
      <c r="I10" t="s">
        <v>188</v>
      </c>
    </row>
    <row r="11" spans="3:9" x14ac:dyDescent="0.3">
      <c r="C11" t="s">
        <v>189</v>
      </c>
      <c r="I11" t="s">
        <v>190</v>
      </c>
    </row>
    <row r="12" spans="3:9" x14ac:dyDescent="0.3">
      <c r="C12" t="s">
        <v>191</v>
      </c>
      <c r="I12" t="s">
        <v>192</v>
      </c>
    </row>
    <row r="13" spans="3:9" x14ac:dyDescent="0.3">
      <c r="I13" t="s">
        <v>193</v>
      </c>
    </row>
    <row r="14" spans="3:9" x14ac:dyDescent="0.3">
      <c r="I14" t="s">
        <v>194</v>
      </c>
    </row>
    <row r="15" spans="3:9" x14ac:dyDescent="0.3">
      <c r="I15" t="s">
        <v>195</v>
      </c>
    </row>
    <row r="16" spans="3:9" x14ac:dyDescent="0.3">
      <c r="I16" t="s">
        <v>196</v>
      </c>
    </row>
    <row r="17" spans="3:9" x14ac:dyDescent="0.3">
      <c r="I17" t="s">
        <v>197</v>
      </c>
    </row>
    <row r="18" spans="3:9" x14ac:dyDescent="0.3">
      <c r="I18" t="s">
        <v>198</v>
      </c>
    </row>
    <row r="19" spans="3:9" x14ac:dyDescent="0.3">
      <c r="C19" s="15"/>
      <c r="D19" s="15"/>
      <c r="I19" t="s">
        <v>199</v>
      </c>
    </row>
    <row r="20" spans="3:9" x14ac:dyDescent="0.3">
      <c r="I20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Ajustes SM</vt:lpstr>
      <vt:lpstr>Ajustes BSM</vt:lpstr>
      <vt:lpstr>Vud,Vus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BLANCO RAMOS</dc:creator>
  <cp:lastModifiedBy>IRENE BLANCO RAMOS</cp:lastModifiedBy>
  <dcterms:created xsi:type="dcterms:W3CDTF">2026-06-17T19:28:19Z</dcterms:created>
  <dcterms:modified xsi:type="dcterms:W3CDTF">2026-06-17T19:33:51Z</dcterms:modified>
</cp:coreProperties>
</file>